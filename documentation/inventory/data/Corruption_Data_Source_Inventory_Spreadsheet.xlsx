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/>
  <mc:AlternateContent xmlns:mc="http://schemas.openxmlformats.org/markup-compatibility/2006">
    <mc:Choice Requires="x15">
      <x15ac:absPath xmlns:x15ac="http://schemas.microsoft.com/office/spreadsheetml/2010/11/ac" url="/Users/collin/Documents/corruption-data/documentation/inventory/data/"/>
    </mc:Choice>
  </mc:AlternateContent>
  <xr:revisionPtr revIDLastSave="0" documentId="8_{CB110710-CFFF-5847-97AD-DFB33F2F72C9}" xr6:coauthVersionLast="47" xr6:coauthVersionMax="47" xr10:uidLastSave="{00000000-0000-0000-0000-000000000000}"/>
  <bookViews>
    <workbookView xWindow="380" yWindow="900" windowWidth="29400" windowHeight="18360" activeTab="6" xr2:uid="{00000000-000D-0000-FFFF-FFFF00000000}"/>
  </bookViews>
  <sheets>
    <sheet name="Summary" sheetId="1" r:id="rId1"/>
    <sheet name="Source Inventory" sheetId="2" r:id="rId2"/>
    <sheet name="Quality Assessment" sheetId="3" r:id="rId3"/>
    <sheet name="Triangulation Matrix" sheetId="4" r:id="rId4"/>
    <sheet name="Extraction Log" sheetId="5" r:id="rId5"/>
    <sheet name="Extraction Typology" sheetId="6" r:id="rId6"/>
    <sheet name="Instru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3"/>
  <c r="I8" i="3"/>
  <c r="I7" i="3"/>
  <c r="I6" i="3"/>
</calcChain>
</file>

<file path=xl/sharedStrings.xml><?xml version="1.0" encoding="utf-8"?>
<sst xmlns="http://schemas.openxmlformats.org/spreadsheetml/2006/main" count="566" uniqueCount="385">
  <si>
    <t>Corruption Data Source Inventory - Study Overview</t>
  </si>
  <si>
    <t>Project Details</t>
  </si>
  <si>
    <t>Study Title</t>
  </si>
  <si>
    <t>Multi-Source Mapping of Corruption Data in South Africa</t>
  </si>
  <si>
    <t>Candidate</t>
  </si>
  <si>
    <t>Collin Raymond Mamdoo</t>
  </si>
  <si>
    <t>Institution</t>
  </si>
  <si>
    <t>Stellenbosch University</t>
  </si>
  <si>
    <t>Supervisors</t>
  </si>
  <si>
    <t>Prof. Pregala Pillay, Dr. Sunday Oladejo</t>
  </si>
  <si>
    <t>Date Created</t>
  </si>
  <si>
    <t>April 2026</t>
  </si>
  <si>
    <t>Source Summary Statistics</t>
  </si>
  <si>
    <t>Category</t>
  </si>
  <si>
    <t># Sources</t>
  </si>
  <si>
    <t>Data Type</t>
  </si>
  <si>
    <t>Avg Timeline</t>
  </si>
  <si>
    <t>Machine-Readable %</t>
  </si>
  <si>
    <t>Public Sector</t>
  </si>
  <si>
    <t>Quantitative + Admin</t>
  </si>
  <si>
    <t>12 years</t>
  </si>
  <si>
    <t>31%</t>
  </si>
  <si>
    <t>NGO/Development</t>
  </si>
  <si>
    <t>Perception + Analytical</t>
  </si>
  <si>
    <t>11 years</t>
  </si>
  <si>
    <t>56%</t>
  </si>
  <si>
    <t>Civil Society</t>
  </si>
  <si>
    <t>Qualitative + Narrative</t>
  </si>
  <si>
    <t>15 years</t>
  </si>
  <si>
    <t>18%</t>
  </si>
  <si>
    <t>TOTAL</t>
  </si>
  <si>
    <t>Mixed Methods</t>
  </si>
  <si>
    <t>12.7 years avg</t>
  </si>
  <si>
    <t>35% avg</t>
  </si>
  <si>
    <t>Corruption Data Source Inventory - All Sources</t>
  </si>
  <si>
    <t>Data Origin</t>
  </si>
  <si>
    <t>Data Source</t>
  </si>
  <si>
    <t>Timeline</t>
  </si>
  <si>
    <t>Accessibility</t>
  </si>
  <si>
    <t>Format</t>
  </si>
  <si>
    <t>Machine-Readable</t>
  </si>
  <si>
    <t>Notes</t>
  </si>
  <si>
    <t>Auditor-General SA (AGSA)</t>
  </si>
  <si>
    <t>PFMA Audit Reports</t>
  </si>
  <si>
    <t>2013–2025</t>
  </si>
  <si>
    <t>Quantitative + Qualitative</t>
  </si>
  <si>
    <t>Public</t>
  </si>
  <si>
    <t>PDF + Excel</t>
  </si>
  <si>
    <t>Partial</t>
  </si>
  <si>
    <t>Institutional level; lag ~12 months</t>
  </si>
  <si>
    <t>MFMA Audit Reports</t>
  </si>
  <si>
    <t>Municipal level; comprehensive</t>
  </si>
  <si>
    <t>Special Investigating Unit (SIU)</t>
  </si>
  <si>
    <t>Annual Reports &amp; Case Summaries</t>
  </si>
  <si>
    <t>2020–2025</t>
  </si>
  <si>
    <t>Quantitative</t>
  </si>
  <si>
    <t>PDF + embedded tables</t>
  </si>
  <si>
    <t>Recoveries lagging indicator</t>
  </si>
  <si>
    <t>Public Protector (SA)</t>
  </si>
  <si>
    <t>Investigative Reports</t>
  </si>
  <si>
    <t>1995–2025</t>
  </si>
  <si>
    <t>Qualitative + narratives</t>
  </si>
  <si>
    <t>Public (selective)</t>
  </si>
  <si>
    <t>PDF</t>
  </si>
  <si>
    <t>Limited</t>
  </si>
  <si>
    <t>Selective publication</t>
  </si>
  <si>
    <t>IPID</t>
  </si>
  <si>
    <t>Annual Reports &amp; Case Registers</t>
  </si>
  <si>
    <t>2010–2025</t>
  </si>
  <si>
    <t>Quantitative + case summaries</t>
  </si>
  <si>
    <t>PDF + embedded</t>
  </si>
  <si>
    <t>Law enforcement focus</t>
  </si>
  <si>
    <t>National Prosecuting Authority (NPA)</t>
  </si>
  <si>
    <t>Court Case Registers</t>
  </si>
  <si>
    <t>2015–2025</t>
  </si>
  <si>
    <t>Quantitative + case details</t>
  </si>
  <si>
    <t>Public (limited)</t>
  </si>
  <si>
    <t>PDF + court rolls</t>
  </si>
  <si>
    <t>Decentralised access</t>
  </si>
  <si>
    <t>National Treasury</t>
  </si>
  <si>
    <t>Vulekamali Budget Data</t>
  </si>
  <si>
    <t>Public (open data)</t>
  </si>
  <si>
    <t>CSV + JSON API</t>
  </si>
  <si>
    <t>Yes</t>
  </si>
  <si>
    <t>Real-time updates</t>
  </si>
  <si>
    <t>SOE Reports</t>
  </si>
  <si>
    <t>Qualitative + quantitative</t>
  </si>
  <si>
    <t>Public (conditional)</t>
  </si>
  <si>
    <t>Delayed publication</t>
  </si>
  <si>
    <t>Dept Public Works</t>
  </si>
  <si>
    <t>Infrastructure Projects Register</t>
  </si>
  <si>
    <t>Excel + PDF</t>
  </si>
  <si>
    <t>Major projects focus</t>
  </si>
  <si>
    <t>NACAC</t>
  </si>
  <si>
    <t>Policy Reports &amp; Recommendations</t>
  </si>
  <si>
    <t>2025–</t>
  </si>
  <si>
    <t>Qualitative + framework analysis</t>
  </si>
  <si>
    <t>Strategic-level analysis</t>
  </si>
  <si>
    <t>Zondo Commission</t>
  </si>
  <si>
    <t>State Capture Reports (Parts 1–6)</t>
  </si>
  <si>
    <t>2022–2024</t>
  </si>
  <si>
    <t>Qualitative + testimony</t>
  </si>
  <si>
    <t>Episodic disclosure</t>
  </si>
  <si>
    <t>Hawks (SAPS)</t>
  </si>
  <si>
    <t>Operational Statistics</t>
  </si>
  <si>
    <t>Restricted/Public</t>
  </si>
  <si>
    <t>Operational secrecy</t>
  </si>
  <si>
    <t>Asset Forfeiture Unit</t>
  </si>
  <si>
    <t>Asset Recovery Reports</t>
  </si>
  <si>
    <t>Lagging indicator</t>
  </si>
  <si>
    <t>PFMA/MFMA Disclosure</t>
  </si>
  <si>
    <t>Irregular Expenditure Registers</t>
  </si>
  <si>
    <t>Semi-public</t>
  </si>
  <si>
    <t>Inconsistent reporting</t>
  </si>
  <si>
    <t>Veza Platform</t>
  </si>
  <si>
    <t>Police Conduct Cases</t>
  </si>
  <si>
    <t>2018–2025</t>
  </si>
  <si>
    <t>JSON API + CSV</t>
  </si>
  <si>
    <t>Parliament Portfolio Committees</t>
  </si>
  <si>
    <t>Committee Hearings &amp; Reports</t>
  </si>
  <si>
    <t>Qualitative + transcripts</t>
  </si>
  <si>
    <t>PDF + hansard</t>
  </si>
  <si>
    <t>Sporadic focus</t>
  </si>
  <si>
    <t>NGO/Dev Sector</t>
  </si>
  <si>
    <t>Corruption Watch</t>
  </si>
  <si>
    <t>Annual Reports &amp; Case Studies</t>
  </si>
  <si>
    <t>2012–2025</t>
  </si>
  <si>
    <t>Quantitative + qualitative</t>
  </si>
  <si>
    <t>PDF + web interface</t>
  </si>
  <si>
    <t>Crowd-sourced, media-covered bias</t>
  </si>
  <si>
    <t>Transparency International SA</t>
  </si>
  <si>
    <t>CPI Research &amp; Findings</t>
  </si>
  <si>
    <t>Perception-based index</t>
  </si>
  <si>
    <t>PDF + datasets</t>
  </si>
  <si>
    <t>Composite index</t>
  </si>
  <si>
    <t>Open Government Partnership</t>
  </si>
  <si>
    <t>Open Contracting Reports</t>
  </si>
  <si>
    <t>Quantitative + analytical</t>
  </si>
  <si>
    <t>Standards-based analysis</t>
  </si>
  <si>
    <t>OUTA</t>
  </si>
  <si>
    <t>Case Studies &amp; Investigative Reports</t>
  </si>
  <si>
    <t>Qualitative + financial</t>
  </si>
  <si>
    <t>Advocacy-focused</t>
  </si>
  <si>
    <t>Afrobarometer</t>
  </si>
  <si>
    <t>Survey Data on Corruption</t>
  </si>
  <si>
    <t>2011–2024</t>
  </si>
  <si>
    <t>Quantitative survey</t>
  </si>
  <si>
    <t>Public (downloadable)</t>
  </si>
  <si>
    <t>CSV + SPSS</t>
  </si>
  <si>
    <t>Nationally representative</t>
  </si>
  <si>
    <t>Crescent Development Finance</t>
  </si>
  <si>
    <t>Governance Index</t>
  </si>
  <si>
    <t>Consulting-grade assessments</t>
  </si>
  <si>
    <t>Mo Ibrahim Foundation</t>
  </si>
  <si>
    <t>Index of African Governance (IIAG)</t>
  </si>
  <si>
    <t>2007–2025</t>
  </si>
  <si>
    <t>CSV + interactive</t>
  </si>
  <si>
    <t>Cross-country benchmarking</t>
  </si>
  <si>
    <t>Institute for Security Studies (ISS)</t>
  </si>
  <si>
    <t>Research Reports</t>
  </si>
  <si>
    <t>Qualitative + analytical</t>
  </si>
  <si>
    <t>Academic rigor</t>
  </si>
  <si>
    <t>World Bank Governance Indicators</t>
  </si>
  <si>
    <t>Control of Corruption Dimension</t>
  </si>
  <si>
    <t>2000–2024</t>
  </si>
  <si>
    <t>Perception-based</t>
  </si>
  <si>
    <t>Perception proxy</t>
  </si>
  <si>
    <t>Social Media (Twitter/X, Facebook)</t>
  </si>
  <si>
    <t>Public Posts on Corruption</t>
  </si>
  <si>
    <t>Qualitative + sentiment</t>
  </si>
  <si>
    <t>Public (API)</t>
  </si>
  <si>
    <t>JSON (API) + raw text</t>
  </si>
  <si>
    <t>Yes (with filtering)</t>
  </si>
  <si>
    <t>High volume, low signal:noise</t>
  </si>
  <si>
    <t>News Media Archives</t>
  </si>
  <si>
    <t>Newspaper Reports &amp; Editorials</t>
  </si>
  <si>
    <t>Qualitative narratives</t>
  </si>
  <si>
    <t>Public (mixed paywalls)</t>
  </si>
  <si>
    <t>PDF + web archive</t>
  </si>
  <si>
    <t>Agenda-setting bias</t>
  </si>
  <si>
    <t>Whistleblower Protection Orgs</t>
  </si>
  <si>
    <t>Confidential Whistleblower Reports</t>
  </si>
  <si>
    <t>Qualitative + case summaries</t>
  </si>
  <si>
    <t>Restricted (confidential)</t>
  </si>
  <si>
    <t>Database (protected)</t>
  </si>
  <si>
    <t>Identity-protected</t>
  </si>
  <si>
    <t>Community-Based Organisations</t>
  </si>
  <si>
    <t>Localised Corruption Reports</t>
  </si>
  <si>
    <t>Mixed</t>
  </si>
  <si>
    <t>Spreadsheets + web forms</t>
  </si>
  <si>
    <t>Hyper-local; inconsistent</t>
  </si>
  <si>
    <t>Academic Research</t>
  </si>
  <si>
    <t>Thematic Corruption Studies</t>
  </si>
  <si>
    <t>Qualitative + mixed-methods</t>
  </si>
  <si>
    <t>High rigor; narrow scope</t>
  </si>
  <si>
    <t>Government Ombudsman</t>
  </si>
  <si>
    <t>Complaints &amp; Disciplinary Records</t>
  </si>
  <si>
    <t>Spreadsheets + PDF</t>
  </si>
  <si>
    <t>HR sensitivity</t>
  </si>
  <si>
    <t>Court Records &amp; Judgements</t>
  </si>
  <si>
    <t>Published Court Judgements</t>
  </si>
  <si>
    <t>Qualitative (judicial narrative)</t>
  </si>
  <si>
    <t>PDF + e-legislation</t>
  </si>
  <si>
    <t>Jurisdictional variation</t>
  </si>
  <si>
    <t>Hansard &amp; Legislative Records</t>
  </si>
  <si>
    <t>Parliamentary Q&amp;A &amp; Transcripts</t>
  </si>
  <si>
    <t>Qualitative transcripts</t>
  </si>
  <si>
    <t>PDF + searchable database</t>
  </si>
  <si>
    <t>Politically reactive</t>
  </si>
  <si>
    <t>International Indices</t>
  </si>
  <si>
    <t>UN, OECD, AfDB Reports</t>
  </si>
  <si>
    <t>Composite indices</t>
  </si>
  <si>
    <t>PDF + downloadable</t>
  </si>
  <si>
    <t>Comparative perspective</t>
  </si>
  <si>
    <t>Think Tanks &amp; Policy Institutes</t>
  </si>
  <si>
    <t>Policy Briefs &amp; Reports</t>
  </si>
  <si>
    <t>Aggregate-level analysis</t>
  </si>
  <si>
    <t>International Financial Reporting</t>
  </si>
  <si>
    <t>IMF &amp; World Bank Country Reports</t>
  </si>
  <si>
    <t>Macro-level indices</t>
  </si>
  <si>
    <t>Proxy indicators</t>
  </si>
  <si>
    <t>Quality Assessment Framework</t>
  </si>
  <si>
    <t>Instructions: Rate each source 1-5 across seven dimensions</t>
  </si>
  <si>
    <t>Source Name</t>
  </si>
  <si>
    <t>Credibility (1-5)</t>
  </si>
  <si>
    <t>Completeness (1-5)</t>
  </si>
  <si>
    <t>Consistency (1-5)</t>
  </si>
  <si>
    <t>Timeliness (1-5)</t>
  </si>
  <si>
    <t>Accessibility (1-5)</t>
  </si>
  <si>
    <t>Granularity (1-5)</t>
  </si>
  <si>
    <t>Bias Risk (1-5)</t>
  </si>
  <si>
    <t>Composite Score</t>
  </si>
  <si>
    <t>AGSA PFMA Reports</t>
  </si>
  <si>
    <t>SIU Case Summaries</t>
  </si>
  <si>
    <t>Social Media (Twitter)</t>
  </si>
  <si>
    <t>Scoring Reference:</t>
  </si>
  <si>
    <t>Credibility</t>
  </si>
  <si>
    <t>5=Independent audit/mandate</t>
  </si>
  <si>
    <t>3=Mixed credentials</t>
  </si>
  <si>
    <t>1=Unverified</t>
  </si>
  <si>
    <t>Completeness</t>
  </si>
  <si>
    <t>5=Comprehensive coverage</t>
  </si>
  <si>
    <t>3=Selective coverage</t>
  </si>
  <si>
    <t>1=Anecdotal only</t>
  </si>
  <si>
    <t>Consistency</t>
  </si>
  <si>
    <t>5=Standardised definitions</t>
  </si>
  <si>
    <t>3=Moderate variation</t>
  </si>
  <si>
    <t>1=Inconsistent</t>
  </si>
  <si>
    <t>Timeliness</t>
  </si>
  <si>
    <t>5=Real-time/&lt;3mo lag</t>
  </si>
  <si>
    <t>3=6-12mo lag</t>
  </si>
  <si>
    <t>1=&gt;2 years lag</t>
  </si>
  <si>
    <t>5=Open download/API</t>
  </si>
  <si>
    <t>3=Semi-public</t>
  </si>
  <si>
    <t>1=Restricted</t>
  </si>
  <si>
    <t>Granularity</t>
  </si>
  <si>
    <t>5=Case-level detail</t>
  </si>
  <si>
    <t>3=Sector/institutional</t>
  </si>
  <si>
    <t>1=Country-level only</t>
  </si>
  <si>
    <t>Bias Risk (reverse: 1=high, 5=low)</t>
  </si>
  <si>
    <t>5=Low bias</t>
  </si>
  <si>
    <t>3=Moderate bias</t>
  </si>
  <si>
    <t>1=High bias</t>
  </si>
  <si>
    <t>Triangulation Matrix - Case Convergence Across Sources</t>
  </si>
  <si>
    <t>Corruption Type</t>
  </si>
  <si>
    <t>Case Name</t>
  </si>
  <si>
    <t>AGSA</t>
  </si>
  <si>
    <t>SIU</t>
  </si>
  <si>
    <t>Media</t>
  </si>
  <si>
    <t>Parliament</t>
  </si>
  <si>
    <t>Convergence Count</t>
  </si>
  <si>
    <t>Credibility Level</t>
  </si>
  <si>
    <t>Procurement Fraud</t>
  </si>
  <si>
    <t>Transnet Contract Irregularities</t>
  </si>
  <si>
    <t>✓</t>
  </si>
  <si>
    <t>5/5</t>
  </si>
  <si>
    <t>HIGH</t>
  </si>
  <si>
    <t>Multiple sources corroborate</t>
  </si>
  <si>
    <t>State Capture</t>
  </si>
  <si>
    <t>Guptas Influence (2010-2018)</t>
  </si>
  <si>
    <t>—</t>
  </si>
  <si>
    <t>4/5</t>
  </si>
  <si>
    <t>Zondo Commission + multiple sources</t>
  </si>
  <si>
    <t>Irregular Expenditure</t>
  </si>
  <si>
    <t>Department X Overspend</t>
  </si>
  <si>
    <t>1/5</t>
  </si>
  <si>
    <t>LOW</t>
  </si>
  <si>
    <t>Single source; needs verification</t>
  </si>
  <si>
    <t>Police Misconduct</t>
  </si>
  <si>
    <t>IPID Investigations</t>
  </si>
  <si>
    <t>Add case examples</t>
  </si>
  <si>
    <t>Whistleblower Suppression</t>
  </si>
  <si>
    <t>WB Protection Cases</t>
  </si>
  <si>
    <t>2/5</t>
  </si>
  <si>
    <t>MODERATE</t>
  </si>
  <si>
    <t>CS sources only</t>
  </si>
  <si>
    <t>Data Extraction &amp; QA Tracking</t>
  </si>
  <si>
    <t>Extraction Date</t>
  </si>
  <si>
    <t>Extracted By</t>
  </si>
  <si>
    <t>Method</t>
  </si>
  <si>
    <t># Cases Extracted</t>
  </si>
  <si>
    <t>QA Checks Performed</t>
  </si>
  <si>
    <t>Issues Encountered</t>
  </si>
  <si>
    <t>Status</t>
  </si>
  <si>
    <t>Data Extraction Typology - By Format &amp; Complexity</t>
  </si>
  <si>
    <t>Format Type</t>
  </si>
  <si>
    <t>Examples</t>
  </si>
  <si>
    <t>Extraction Method</t>
  </si>
  <si>
    <t>Quality Assurance</t>
  </si>
  <si>
    <t>Effort (Hrs/Source)</t>
  </si>
  <si>
    <t>Risk of Error</t>
  </si>
  <si>
    <t>Structured (CSV/API)</t>
  </si>
  <si>
    <t>Vulekamali, Veza, Afrobarometer</t>
  </si>
  <si>
    <t>Automated download + parsing</t>
  </si>
  <si>
    <t>Checksum, row counts</t>
  </si>
  <si>
    <t>1-2</t>
  </si>
  <si>
    <t>Low (0-5%)</t>
  </si>
  <si>
    <t>Semi-Structured (Excel/Tables)</t>
  </si>
  <si>
    <t>AGSA extracts, SIU summaries</t>
  </si>
  <si>
    <t>PDF table extraction (Tabula)</t>
  </si>
  <si>
    <t>Visual inspection, formulas</t>
  </si>
  <si>
    <t>3-8</t>
  </si>
  <si>
    <t>Medium (5-15%)</t>
  </si>
  <si>
    <t>Unstructured (PDF Reports)</t>
  </si>
  <si>
    <t>Public Protector, Zondo, ISS</t>
  </si>
  <si>
    <t>Manual abstraction + coding</t>
  </si>
  <si>
    <t>Dual coding, audit trail</t>
  </si>
  <si>
    <t>8-16</t>
  </si>
  <si>
    <t>High (15-30%)</t>
  </si>
  <si>
    <t>Narrative (Case Studies, News)</t>
  </si>
  <si>
    <t>Court judgements, media articles</t>
  </si>
  <si>
    <t>Close reading + content analysis</t>
  </si>
  <si>
    <t>Codebook, inter-rater reliability</t>
  </si>
  <si>
    <t>4-12</t>
  </si>
  <si>
    <t>High (20-35%)</t>
  </si>
  <si>
    <t>Restricted/Confidential</t>
  </si>
  <si>
    <t>Whistleblower reports, HR records</t>
  </si>
  <si>
    <t>Secure access + anonymisation</t>
  </si>
  <si>
    <t>Ethics approval, consent</t>
  </si>
  <si>
    <t>6-20</t>
  </si>
  <si>
    <t>Variable</t>
  </si>
  <si>
    <t>How to Use This Spreadsheet</t>
  </si>
  <si>
    <t>SHEET 1: Summary</t>
  </si>
  <si>
    <t>Overview of the study and source statistics</t>
  </si>
  <si>
    <t>SHEET 2: Source Inventory</t>
  </si>
  <si>
    <t>Complete list of all 36 corruption data sources with details</t>
  </si>
  <si>
    <t>SHEET 3: Quality Assessment</t>
  </si>
  <si>
    <t>Score each source across 7 dimensions (credibility, completeness, etc.)</t>
  </si>
  <si>
    <t>SHEET 4: Triangulation Matrix</t>
  </si>
  <si>
    <t>Track which sources report the same corruption cases</t>
  </si>
  <si>
    <t>SHEET 5: Extraction Log</t>
  </si>
  <si>
    <t>Log each extraction with QA checks and issues</t>
  </si>
  <si>
    <t>SHEET 6: Extraction Typology</t>
  </si>
  <si>
    <t>Reference for extraction methods by format type</t>
  </si>
  <si>
    <t>SHEET 7: Instructions</t>
  </si>
  <si>
    <t>This sheet - how to use the spreadsheet</t>
  </si>
  <si>
    <t>Key Tasks:</t>
  </si>
  <si>
    <t>1. IDENTIFICATION: Go to Sheet 2 and add more sources as you discover them</t>
  </si>
  <si>
    <t>2. SCREENING: Use Sheet 3 to score each source's quality</t>
  </si>
  <si>
    <t>3. EXTRACTION: Use Sheet 5 to log data extraction and QA checks</t>
  </si>
  <si>
    <t>4. TRIANGULATION: Use Sheet 4 to track which cases appear in multiple sources</t>
  </si>
  <si>
    <t>5. ANALYSIS: Use all sheets together to synthesize findings</t>
  </si>
  <si>
    <t>Data Entry Tips:</t>
  </si>
  <si>
    <t>• Quality Assessment (Sheet 3): Use drop-down lists or just type 1-5 numbers</t>
  </si>
  <si>
    <t>• Triangulation (Sheet 4): Use ✓ for yes, — for no, or TRUE/FALSE</t>
  </si>
  <si>
    <t>• Extraction Log (Sheet 5): Fill in as you extract data from each source</t>
  </si>
  <si>
    <t>• Sheet formulas will auto-calculate composite quality scores</t>
  </si>
  <si>
    <t>References &amp; Access Points</t>
  </si>
  <si>
    <t>Government Institutions</t>
  </si>
  <si>
    <t>AGSA: https://www.agsa.co.za/Reporting/AuditReports.aspx</t>
  </si>
  <si>
    <t>SIU: https://www.siu.org.za/annual-reports/</t>
  </si>
  <si>
    <t>Public Protector: https://www.pprotect.org/</t>
  </si>
  <si>
    <t>IPID: https://ipid.gov.za/</t>
  </si>
  <si>
    <t>National Treasury Vulekamali: https://vulekamali.gov.za/</t>
  </si>
  <si>
    <t>Parliament Hansard: https://www.parliament.gov.za/</t>
  </si>
  <si>
    <t>NGOs &amp; Civil Society</t>
  </si>
  <si>
    <t>Corruption Watch: https://www.corruptionwatch.org.za/</t>
  </si>
  <si>
    <t>Transparency International SA: https://www.transparency.org.za/</t>
  </si>
  <si>
    <t>OUTA: https://outa.co.za/</t>
  </si>
  <si>
    <t>Afrobarometer: https://www.afrobarometer.org/</t>
  </si>
  <si>
    <t>Veza: https://www.veza.org.za/</t>
  </si>
  <si>
    <t>International Comparatives</t>
  </si>
  <si>
    <t>World Bank Governance Indicators: https://www.govindicators.org/</t>
  </si>
  <si>
    <t>Transparency International CPI: https://www.transparency.org/en/cpi/2024</t>
  </si>
  <si>
    <t>Mo Ibrahim Foundation IIAG: https://mo.ibrahim.foundation/iiag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</si>
</sst>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  <font>
      <i/>
      <sz val="11"/>
      <name val="Calibri"/>
    </font>
    <font>
      <b/>
      <sz val="11"/>
      <name val="Calibri"/>
    </font>
    <font>
      <b/>
      <sz val="11"/>
      <name val="Calibri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vertical="top" wrapText="1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parency.org.za/" TargetMode="External"/><Relationship Id="rId13" Type="http://schemas.openxmlformats.org/officeDocument/2006/relationships/hyperlink" Target="https://www.transparency.org/en/cpi/2024" TargetMode="External"/><Relationship Id="rId3" Type="http://schemas.openxmlformats.org/officeDocument/2006/relationships/hyperlink" Target="https://www.pprotect.org/" TargetMode="External"/><Relationship Id="rId7" Type="http://schemas.openxmlformats.org/officeDocument/2006/relationships/hyperlink" Target="https://www.corruptionwatch.org.za/" TargetMode="External"/><Relationship Id="rId12" Type="http://schemas.openxmlformats.org/officeDocument/2006/relationships/hyperlink" Target="https://www.govindicators.org/" TargetMode="External"/><Relationship Id="rId2" Type="http://schemas.openxmlformats.org/officeDocument/2006/relationships/hyperlink" Target="https://www.siu.org.za/annual-reports/" TargetMode="External"/><Relationship Id="rId1" Type="http://schemas.openxmlformats.org/officeDocument/2006/relationships/hyperlink" Target="https://www.agsa.co.za/Reporting/AuditReports.aspx" TargetMode="External"/><Relationship Id="rId6" Type="http://schemas.openxmlformats.org/officeDocument/2006/relationships/hyperlink" Target="https://www.parliament.gov.za/" TargetMode="External"/><Relationship Id="rId11" Type="http://schemas.openxmlformats.org/officeDocument/2006/relationships/hyperlink" Target="https://www.veza.org.za/" TargetMode="External"/><Relationship Id="rId5" Type="http://schemas.openxmlformats.org/officeDocument/2006/relationships/hyperlink" Target="https://vulekamali.gov.za/" TargetMode="External"/><Relationship Id="rId10" Type="http://schemas.openxmlformats.org/officeDocument/2006/relationships/hyperlink" Target="https://www.afrobarometer.org/" TargetMode="External"/><Relationship Id="rId4" Type="http://schemas.openxmlformats.org/officeDocument/2006/relationships/hyperlink" Target="https://ipid.gov.za/" TargetMode="External"/><Relationship Id="rId9" Type="http://schemas.openxmlformats.org/officeDocument/2006/relationships/hyperlink" Target="https://outa.co.za/" TargetMode="External"/><Relationship Id="rId14" Type="http://schemas.openxmlformats.org/officeDocument/2006/relationships/hyperlink" Target="https://mo.ibrahim.foundation/ii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3" max="3" width="40" customWidth="1"/>
  </cols>
  <sheetData>
    <row r="1" spans="1:5" ht="19" x14ac:dyDescent="0.25">
      <c r="A1" s="1" t="s">
        <v>0</v>
      </c>
    </row>
    <row r="3" spans="1:5" ht="16" x14ac:dyDescent="0.2">
      <c r="A3" s="2" t="s">
        <v>1</v>
      </c>
    </row>
    <row r="4" spans="1:5" x14ac:dyDescent="0.2">
      <c r="A4" t="s">
        <v>2</v>
      </c>
      <c r="B4" t="s">
        <v>3</v>
      </c>
    </row>
    <row r="5" spans="1:5" x14ac:dyDescent="0.2">
      <c r="A5" t="s">
        <v>4</v>
      </c>
      <c r="B5" t="s">
        <v>5</v>
      </c>
    </row>
    <row r="6" spans="1:5" x14ac:dyDescent="0.2">
      <c r="A6" t="s">
        <v>6</v>
      </c>
      <c r="B6" t="s">
        <v>7</v>
      </c>
    </row>
    <row r="7" spans="1:5" x14ac:dyDescent="0.2">
      <c r="A7" t="s">
        <v>8</v>
      </c>
      <c r="B7" t="s">
        <v>9</v>
      </c>
    </row>
    <row r="8" spans="1:5" x14ac:dyDescent="0.2">
      <c r="A8" t="s">
        <v>10</v>
      </c>
      <c r="B8" t="s">
        <v>11</v>
      </c>
    </row>
    <row r="10" spans="1:5" ht="16" x14ac:dyDescent="0.2">
      <c r="A10" s="2" t="s">
        <v>12</v>
      </c>
    </row>
    <row r="11" spans="1:5" ht="48" x14ac:dyDescent="0.2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</row>
    <row r="12" spans="1:5" x14ac:dyDescent="0.2">
      <c r="A12" s="4" t="s">
        <v>18</v>
      </c>
      <c r="B12" s="4">
        <v>16</v>
      </c>
      <c r="C12" s="4" t="s">
        <v>19</v>
      </c>
      <c r="D12" s="4" t="s">
        <v>20</v>
      </c>
      <c r="E12" s="4" t="s">
        <v>21</v>
      </c>
    </row>
    <row r="13" spans="1:5" x14ac:dyDescent="0.2">
      <c r="A13" s="4" t="s">
        <v>22</v>
      </c>
      <c r="B13" s="4">
        <v>9</v>
      </c>
      <c r="C13" s="4" t="s">
        <v>23</v>
      </c>
      <c r="D13" s="4" t="s">
        <v>24</v>
      </c>
      <c r="E13" s="4" t="s">
        <v>25</v>
      </c>
    </row>
    <row r="14" spans="1:5" x14ac:dyDescent="0.2">
      <c r="A14" s="4" t="s">
        <v>26</v>
      </c>
      <c r="B14" s="4">
        <v>11</v>
      </c>
      <c r="C14" s="4" t="s">
        <v>27</v>
      </c>
      <c r="D14" s="4" t="s">
        <v>28</v>
      </c>
      <c r="E14" s="4" t="s">
        <v>29</v>
      </c>
    </row>
    <row r="15" spans="1:5" x14ac:dyDescent="0.2">
      <c r="A15" s="4" t="s">
        <v>30</v>
      </c>
      <c r="B15" s="4">
        <v>36</v>
      </c>
      <c r="C15" s="4" t="s">
        <v>31</v>
      </c>
      <c r="D15" s="4" t="s">
        <v>32</v>
      </c>
      <c r="E15" s="4" t="s">
        <v>33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0" customWidth="1"/>
    <col min="2" max="2" width="25" customWidth="1"/>
    <col min="3" max="3" width="30" customWidth="1"/>
    <col min="4" max="4" width="20" customWidth="1"/>
    <col min="5" max="5" width="12" customWidth="1"/>
    <col min="6" max="6" width="15" customWidth="1"/>
    <col min="7" max="7" width="12" customWidth="1"/>
    <col min="8" max="8" width="15" customWidth="1"/>
    <col min="9" max="9" width="40" customWidth="1"/>
  </cols>
  <sheetData>
    <row r="1" spans="1:9" ht="16" x14ac:dyDescent="0.2">
      <c r="A1" s="5" t="s">
        <v>34</v>
      </c>
    </row>
    <row r="2" spans="1:9" ht="32" x14ac:dyDescent="0.2">
      <c r="A2" s="3" t="s">
        <v>35</v>
      </c>
      <c r="B2" s="3" t="s">
        <v>6</v>
      </c>
      <c r="C2" s="3" t="s">
        <v>36</v>
      </c>
      <c r="D2" s="3" t="s">
        <v>37</v>
      </c>
      <c r="E2" s="3" t="s">
        <v>15</v>
      </c>
      <c r="F2" s="3" t="s">
        <v>38</v>
      </c>
      <c r="G2" s="3" t="s">
        <v>39</v>
      </c>
      <c r="H2" s="3" t="s">
        <v>40</v>
      </c>
      <c r="I2" s="3" t="s">
        <v>41</v>
      </c>
    </row>
    <row r="3" spans="1:9" ht="32" x14ac:dyDescent="0.2">
      <c r="A3" s="6" t="s">
        <v>18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</row>
    <row r="4" spans="1:9" ht="32" x14ac:dyDescent="0.2">
      <c r="A4" s="6" t="s">
        <v>18</v>
      </c>
      <c r="B4" s="6" t="s">
        <v>42</v>
      </c>
      <c r="C4" s="6" t="s">
        <v>50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51</v>
      </c>
    </row>
    <row r="5" spans="1:9" ht="48" x14ac:dyDescent="0.2">
      <c r="A5" s="6" t="s">
        <v>18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46</v>
      </c>
      <c r="G5" s="6" t="s">
        <v>56</v>
      </c>
      <c r="H5" s="6" t="s">
        <v>48</v>
      </c>
      <c r="I5" s="6" t="s">
        <v>57</v>
      </c>
    </row>
    <row r="6" spans="1:9" ht="32" x14ac:dyDescent="0.2">
      <c r="A6" s="6" t="s">
        <v>18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65</v>
      </c>
    </row>
    <row r="7" spans="1:9" ht="48" x14ac:dyDescent="0.2">
      <c r="A7" s="6" t="s">
        <v>18</v>
      </c>
      <c r="B7" s="6" t="s">
        <v>66</v>
      </c>
      <c r="C7" s="6" t="s">
        <v>67</v>
      </c>
      <c r="D7" s="6" t="s">
        <v>68</v>
      </c>
      <c r="E7" s="6" t="s">
        <v>69</v>
      </c>
      <c r="F7" s="6" t="s">
        <v>46</v>
      </c>
      <c r="G7" s="6" t="s">
        <v>70</v>
      </c>
      <c r="H7" s="6" t="s">
        <v>64</v>
      </c>
      <c r="I7" s="6" t="s">
        <v>71</v>
      </c>
    </row>
    <row r="8" spans="1:9" ht="32" x14ac:dyDescent="0.2">
      <c r="A8" s="6" t="s">
        <v>18</v>
      </c>
      <c r="B8" s="6" t="s">
        <v>72</v>
      </c>
      <c r="C8" s="6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64</v>
      </c>
      <c r="I8" s="6" t="s">
        <v>78</v>
      </c>
    </row>
    <row r="9" spans="1:9" ht="32" x14ac:dyDescent="0.2">
      <c r="A9" s="6" t="s">
        <v>18</v>
      </c>
      <c r="B9" s="6" t="s">
        <v>79</v>
      </c>
      <c r="C9" s="6" t="s">
        <v>80</v>
      </c>
      <c r="D9" s="6" t="s">
        <v>68</v>
      </c>
      <c r="E9" s="6" t="s">
        <v>55</v>
      </c>
      <c r="F9" s="6" t="s">
        <v>81</v>
      </c>
      <c r="G9" s="6" t="s">
        <v>82</v>
      </c>
      <c r="H9" s="6" t="s">
        <v>83</v>
      </c>
      <c r="I9" s="6" t="s">
        <v>84</v>
      </c>
    </row>
    <row r="10" spans="1:9" ht="32" x14ac:dyDescent="0.2">
      <c r="A10" s="6" t="s">
        <v>18</v>
      </c>
      <c r="B10" s="6" t="s">
        <v>79</v>
      </c>
      <c r="C10" s="6" t="s">
        <v>85</v>
      </c>
      <c r="D10" s="6" t="s">
        <v>44</v>
      </c>
      <c r="E10" s="6" t="s">
        <v>86</v>
      </c>
      <c r="F10" s="6" t="s">
        <v>87</v>
      </c>
      <c r="G10" s="6" t="s">
        <v>47</v>
      </c>
      <c r="H10" s="6" t="s">
        <v>48</v>
      </c>
      <c r="I10" s="6" t="s">
        <v>88</v>
      </c>
    </row>
    <row r="11" spans="1:9" ht="16" x14ac:dyDescent="0.2">
      <c r="A11" s="6" t="s">
        <v>18</v>
      </c>
      <c r="B11" s="6" t="s">
        <v>89</v>
      </c>
      <c r="C11" s="6" t="s">
        <v>90</v>
      </c>
      <c r="D11" s="6" t="s">
        <v>74</v>
      </c>
      <c r="E11" s="6" t="s">
        <v>55</v>
      </c>
      <c r="F11" s="6" t="s">
        <v>46</v>
      </c>
      <c r="G11" s="6" t="s">
        <v>91</v>
      </c>
      <c r="H11" s="6" t="s">
        <v>48</v>
      </c>
      <c r="I11" s="6" t="s">
        <v>92</v>
      </c>
    </row>
    <row r="12" spans="1:9" ht="48" x14ac:dyDescent="0.2">
      <c r="A12" s="6" t="s">
        <v>18</v>
      </c>
      <c r="B12" s="6" t="s">
        <v>93</v>
      </c>
      <c r="C12" s="6" t="s">
        <v>94</v>
      </c>
      <c r="D12" s="6" t="s">
        <v>95</v>
      </c>
      <c r="E12" s="6" t="s">
        <v>96</v>
      </c>
      <c r="F12" s="6" t="s">
        <v>46</v>
      </c>
      <c r="G12" s="6" t="s">
        <v>63</v>
      </c>
      <c r="H12" s="6" t="s">
        <v>64</v>
      </c>
      <c r="I12" s="6" t="s">
        <v>97</v>
      </c>
    </row>
    <row r="13" spans="1:9" ht="32" x14ac:dyDescent="0.2">
      <c r="A13" s="6" t="s">
        <v>18</v>
      </c>
      <c r="B13" s="6" t="s">
        <v>98</v>
      </c>
      <c r="C13" s="6" t="s">
        <v>99</v>
      </c>
      <c r="D13" s="6" t="s">
        <v>100</v>
      </c>
      <c r="E13" s="6" t="s">
        <v>101</v>
      </c>
      <c r="F13" s="6" t="s">
        <v>46</v>
      </c>
      <c r="G13" s="6" t="s">
        <v>63</v>
      </c>
      <c r="H13" s="6" t="s">
        <v>64</v>
      </c>
      <c r="I13" s="6" t="s">
        <v>102</v>
      </c>
    </row>
    <row r="14" spans="1:9" ht="48" x14ac:dyDescent="0.2">
      <c r="A14" s="6" t="s">
        <v>18</v>
      </c>
      <c r="B14" s="6" t="s">
        <v>103</v>
      </c>
      <c r="C14" s="6" t="s">
        <v>104</v>
      </c>
      <c r="D14" s="6" t="s">
        <v>74</v>
      </c>
      <c r="E14" s="6" t="s">
        <v>69</v>
      </c>
      <c r="F14" s="6" t="s">
        <v>105</v>
      </c>
      <c r="G14" s="6" t="s">
        <v>63</v>
      </c>
      <c r="H14" s="6" t="s">
        <v>64</v>
      </c>
      <c r="I14" s="6" t="s">
        <v>106</v>
      </c>
    </row>
    <row r="15" spans="1:9" ht="48" x14ac:dyDescent="0.2">
      <c r="A15" s="6" t="s">
        <v>18</v>
      </c>
      <c r="B15" s="6" t="s">
        <v>107</v>
      </c>
      <c r="C15" s="6" t="s">
        <v>108</v>
      </c>
      <c r="D15" s="6" t="s">
        <v>74</v>
      </c>
      <c r="E15" s="6" t="s">
        <v>55</v>
      </c>
      <c r="F15" s="6" t="s">
        <v>46</v>
      </c>
      <c r="G15" s="6" t="s">
        <v>56</v>
      </c>
      <c r="H15" s="6" t="s">
        <v>64</v>
      </c>
      <c r="I15" s="6" t="s">
        <v>109</v>
      </c>
    </row>
    <row r="16" spans="1:9" ht="16" x14ac:dyDescent="0.2">
      <c r="A16" s="6" t="s">
        <v>18</v>
      </c>
      <c r="B16" s="6" t="s">
        <v>110</v>
      </c>
      <c r="C16" s="6" t="s">
        <v>111</v>
      </c>
      <c r="D16" s="6" t="s">
        <v>74</v>
      </c>
      <c r="E16" s="6" t="s">
        <v>55</v>
      </c>
      <c r="F16" s="6" t="s">
        <v>112</v>
      </c>
      <c r="G16" s="6" t="s">
        <v>91</v>
      </c>
      <c r="H16" s="6" t="s">
        <v>48</v>
      </c>
      <c r="I16" s="6" t="s">
        <v>113</v>
      </c>
    </row>
    <row r="17" spans="1:9" ht="48" x14ac:dyDescent="0.2">
      <c r="A17" s="6" t="s">
        <v>18</v>
      </c>
      <c r="B17" s="6" t="s">
        <v>114</v>
      </c>
      <c r="C17" s="6" t="s">
        <v>115</v>
      </c>
      <c r="D17" s="6" t="s">
        <v>116</v>
      </c>
      <c r="E17" s="6" t="s">
        <v>69</v>
      </c>
      <c r="F17" s="6" t="s">
        <v>81</v>
      </c>
      <c r="G17" s="6" t="s">
        <v>117</v>
      </c>
      <c r="H17" s="6" t="s">
        <v>83</v>
      </c>
      <c r="I17" s="6" t="s">
        <v>84</v>
      </c>
    </row>
    <row r="18" spans="1:9" ht="32" x14ac:dyDescent="0.2">
      <c r="A18" s="6" t="s">
        <v>18</v>
      </c>
      <c r="B18" s="6" t="s">
        <v>118</v>
      </c>
      <c r="C18" s="6" t="s">
        <v>119</v>
      </c>
      <c r="D18" s="6" t="s">
        <v>74</v>
      </c>
      <c r="E18" s="6" t="s">
        <v>120</v>
      </c>
      <c r="F18" s="6" t="s">
        <v>46</v>
      </c>
      <c r="G18" s="6" t="s">
        <v>121</v>
      </c>
      <c r="H18" s="6" t="s">
        <v>64</v>
      </c>
      <c r="I18" s="6" t="s">
        <v>122</v>
      </c>
    </row>
    <row r="19" spans="1:9" ht="32" x14ac:dyDescent="0.2">
      <c r="A19" s="6" t="s">
        <v>123</v>
      </c>
      <c r="B19" s="6" t="s">
        <v>124</v>
      </c>
      <c r="C19" s="6" t="s">
        <v>125</v>
      </c>
      <c r="D19" s="6" t="s">
        <v>126</v>
      </c>
      <c r="E19" s="6" t="s">
        <v>127</v>
      </c>
      <c r="F19" s="6" t="s">
        <v>46</v>
      </c>
      <c r="G19" s="6" t="s">
        <v>128</v>
      </c>
      <c r="H19" s="6" t="s">
        <v>48</v>
      </c>
      <c r="I19" s="6" t="s">
        <v>129</v>
      </c>
    </row>
    <row r="20" spans="1:9" ht="32" x14ac:dyDescent="0.2">
      <c r="A20" s="6" t="s">
        <v>123</v>
      </c>
      <c r="B20" s="6" t="s">
        <v>130</v>
      </c>
      <c r="C20" s="6" t="s">
        <v>131</v>
      </c>
      <c r="D20" s="6" t="s">
        <v>126</v>
      </c>
      <c r="E20" s="6" t="s">
        <v>132</v>
      </c>
      <c r="F20" s="6" t="s">
        <v>46</v>
      </c>
      <c r="G20" s="6" t="s">
        <v>133</v>
      </c>
      <c r="H20" s="6" t="s">
        <v>83</v>
      </c>
      <c r="I20" s="6" t="s">
        <v>134</v>
      </c>
    </row>
    <row r="21" spans="1:9" ht="32" x14ac:dyDescent="0.2">
      <c r="A21" s="6" t="s">
        <v>123</v>
      </c>
      <c r="B21" s="6" t="s">
        <v>135</v>
      </c>
      <c r="C21" s="6" t="s">
        <v>136</v>
      </c>
      <c r="D21" s="6" t="s">
        <v>116</v>
      </c>
      <c r="E21" s="6" t="s">
        <v>137</v>
      </c>
      <c r="F21" s="6" t="s">
        <v>46</v>
      </c>
      <c r="G21" s="6" t="s">
        <v>133</v>
      </c>
      <c r="H21" s="6" t="s">
        <v>48</v>
      </c>
      <c r="I21" s="6" t="s">
        <v>138</v>
      </c>
    </row>
    <row r="22" spans="1:9" ht="32" x14ac:dyDescent="0.2">
      <c r="A22" s="6" t="s">
        <v>123</v>
      </c>
      <c r="B22" s="6" t="s">
        <v>139</v>
      </c>
      <c r="C22" s="6" t="s">
        <v>140</v>
      </c>
      <c r="D22" s="6" t="s">
        <v>126</v>
      </c>
      <c r="E22" s="6" t="s">
        <v>141</v>
      </c>
      <c r="F22" s="6" t="s">
        <v>46</v>
      </c>
      <c r="G22" s="6" t="s">
        <v>63</v>
      </c>
      <c r="H22" s="6" t="s">
        <v>64</v>
      </c>
      <c r="I22" s="6" t="s">
        <v>142</v>
      </c>
    </row>
    <row r="23" spans="1:9" ht="32" x14ac:dyDescent="0.2">
      <c r="A23" s="6" t="s">
        <v>123</v>
      </c>
      <c r="B23" s="6" t="s">
        <v>143</v>
      </c>
      <c r="C23" s="6" t="s">
        <v>144</v>
      </c>
      <c r="D23" s="6" t="s">
        <v>145</v>
      </c>
      <c r="E23" s="6" t="s">
        <v>146</v>
      </c>
      <c r="F23" s="6" t="s">
        <v>147</v>
      </c>
      <c r="G23" s="6" t="s">
        <v>148</v>
      </c>
      <c r="H23" s="6" t="s">
        <v>83</v>
      </c>
      <c r="I23" s="6" t="s">
        <v>149</v>
      </c>
    </row>
    <row r="24" spans="1:9" ht="32" x14ac:dyDescent="0.2">
      <c r="A24" s="6" t="s">
        <v>123</v>
      </c>
      <c r="B24" s="6" t="s">
        <v>150</v>
      </c>
      <c r="C24" s="6" t="s">
        <v>151</v>
      </c>
      <c r="D24" s="6" t="s">
        <v>74</v>
      </c>
      <c r="E24" s="6" t="s">
        <v>127</v>
      </c>
      <c r="F24" s="6" t="s">
        <v>112</v>
      </c>
      <c r="G24" s="6" t="s">
        <v>63</v>
      </c>
      <c r="H24" s="6" t="s">
        <v>64</v>
      </c>
      <c r="I24" s="6" t="s">
        <v>152</v>
      </c>
    </row>
    <row r="25" spans="1:9" ht="32" x14ac:dyDescent="0.2">
      <c r="A25" s="6" t="s">
        <v>123</v>
      </c>
      <c r="B25" s="6" t="s">
        <v>153</v>
      </c>
      <c r="C25" s="6" t="s">
        <v>154</v>
      </c>
      <c r="D25" s="6" t="s">
        <v>155</v>
      </c>
      <c r="E25" s="6" t="s">
        <v>134</v>
      </c>
      <c r="F25" s="6" t="s">
        <v>46</v>
      </c>
      <c r="G25" s="6" t="s">
        <v>156</v>
      </c>
      <c r="H25" s="6" t="s">
        <v>83</v>
      </c>
      <c r="I25" s="6" t="s">
        <v>157</v>
      </c>
    </row>
    <row r="26" spans="1:9" ht="32" x14ac:dyDescent="0.2">
      <c r="A26" s="6" t="s">
        <v>123</v>
      </c>
      <c r="B26" s="6" t="s">
        <v>158</v>
      </c>
      <c r="C26" s="6" t="s">
        <v>159</v>
      </c>
      <c r="D26" s="6" t="s">
        <v>68</v>
      </c>
      <c r="E26" s="6" t="s">
        <v>160</v>
      </c>
      <c r="F26" s="6" t="s">
        <v>46</v>
      </c>
      <c r="G26" s="6" t="s">
        <v>63</v>
      </c>
      <c r="H26" s="6" t="s">
        <v>64</v>
      </c>
      <c r="I26" s="6" t="s">
        <v>161</v>
      </c>
    </row>
    <row r="27" spans="1:9" ht="32" x14ac:dyDescent="0.2">
      <c r="A27" s="6" t="s">
        <v>123</v>
      </c>
      <c r="B27" s="6" t="s">
        <v>162</v>
      </c>
      <c r="C27" s="6" t="s">
        <v>163</v>
      </c>
      <c r="D27" s="6" t="s">
        <v>164</v>
      </c>
      <c r="E27" s="6" t="s">
        <v>165</v>
      </c>
      <c r="F27" s="6" t="s">
        <v>147</v>
      </c>
      <c r="G27" s="6" t="s">
        <v>156</v>
      </c>
      <c r="H27" s="6" t="s">
        <v>83</v>
      </c>
      <c r="I27" s="6" t="s">
        <v>166</v>
      </c>
    </row>
    <row r="28" spans="1:9" ht="32" x14ac:dyDescent="0.2">
      <c r="A28" s="6" t="s">
        <v>26</v>
      </c>
      <c r="B28" s="6" t="s">
        <v>167</v>
      </c>
      <c r="C28" s="6" t="s">
        <v>168</v>
      </c>
      <c r="D28" s="6" t="s">
        <v>116</v>
      </c>
      <c r="E28" s="6" t="s">
        <v>169</v>
      </c>
      <c r="F28" s="6" t="s">
        <v>170</v>
      </c>
      <c r="G28" s="6" t="s">
        <v>171</v>
      </c>
      <c r="H28" s="6" t="s">
        <v>172</v>
      </c>
      <c r="I28" s="6" t="s">
        <v>173</v>
      </c>
    </row>
    <row r="29" spans="1:9" ht="32" x14ac:dyDescent="0.2">
      <c r="A29" s="6" t="s">
        <v>26</v>
      </c>
      <c r="B29" s="6" t="s">
        <v>174</v>
      </c>
      <c r="C29" s="6" t="s">
        <v>175</v>
      </c>
      <c r="D29" s="6" t="s">
        <v>60</v>
      </c>
      <c r="E29" s="6" t="s">
        <v>176</v>
      </c>
      <c r="F29" s="6" t="s">
        <v>177</v>
      </c>
      <c r="G29" s="6" t="s">
        <v>178</v>
      </c>
      <c r="H29" s="6" t="s">
        <v>64</v>
      </c>
      <c r="I29" s="6" t="s">
        <v>179</v>
      </c>
    </row>
    <row r="30" spans="1:9" ht="48" x14ac:dyDescent="0.2">
      <c r="A30" s="6" t="s">
        <v>26</v>
      </c>
      <c r="B30" s="6" t="s">
        <v>180</v>
      </c>
      <c r="C30" s="6" t="s">
        <v>181</v>
      </c>
      <c r="D30" s="6" t="s">
        <v>74</v>
      </c>
      <c r="E30" s="6" t="s">
        <v>182</v>
      </c>
      <c r="F30" s="6" t="s">
        <v>183</v>
      </c>
      <c r="G30" s="6" t="s">
        <v>184</v>
      </c>
      <c r="H30" s="6" t="s">
        <v>64</v>
      </c>
      <c r="I30" s="6" t="s">
        <v>185</v>
      </c>
    </row>
    <row r="31" spans="1:9" ht="32" x14ac:dyDescent="0.2">
      <c r="A31" s="6" t="s">
        <v>26</v>
      </c>
      <c r="B31" s="6" t="s">
        <v>186</v>
      </c>
      <c r="C31" s="6" t="s">
        <v>187</v>
      </c>
      <c r="D31" s="6" t="s">
        <v>74</v>
      </c>
      <c r="E31" s="6" t="s">
        <v>188</v>
      </c>
      <c r="F31" s="6" t="s">
        <v>112</v>
      </c>
      <c r="G31" s="6" t="s">
        <v>189</v>
      </c>
      <c r="H31" s="6" t="s">
        <v>48</v>
      </c>
      <c r="I31" s="6" t="s">
        <v>190</v>
      </c>
    </row>
    <row r="32" spans="1:9" ht="48" x14ac:dyDescent="0.2">
      <c r="A32" s="6" t="s">
        <v>26</v>
      </c>
      <c r="B32" s="6" t="s">
        <v>191</v>
      </c>
      <c r="C32" s="6" t="s">
        <v>192</v>
      </c>
      <c r="D32" s="6" t="s">
        <v>68</v>
      </c>
      <c r="E32" s="6" t="s">
        <v>193</v>
      </c>
      <c r="F32" s="6" t="s">
        <v>46</v>
      </c>
      <c r="G32" s="6" t="s">
        <v>133</v>
      </c>
      <c r="H32" s="6" t="s">
        <v>64</v>
      </c>
      <c r="I32" s="6" t="s">
        <v>194</v>
      </c>
    </row>
    <row r="33" spans="1:9" ht="48" x14ac:dyDescent="0.2">
      <c r="A33" s="6" t="s">
        <v>26</v>
      </c>
      <c r="B33" s="6" t="s">
        <v>195</v>
      </c>
      <c r="C33" s="6" t="s">
        <v>196</v>
      </c>
      <c r="D33" s="6" t="s">
        <v>74</v>
      </c>
      <c r="E33" s="6" t="s">
        <v>69</v>
      </c>
      <c r="F33" s="6" t="s">
        <v>112</v>
      </c>
      <c r="G33" s="6" t="s">
        <v>197</v>
      </c>
      <c r="H33" s="6" t="s">
        <v>48</v>
      </c>
      <c r="I33" s="6" t="s">
        <v>198</v>
      </c>
    </row>
    <row r="34" spans="1:9" ht="48" x14ac:dyDescent="0.2">
      <c r="A34" s="6" t="s">
        <v>26</v>
      </c>
      <c r="B34" s="6" t="s">
        <v>199</v>
      </c>
      <c r="C34" s="6" t="s">
        <v>200</v>
      </c>
      <c r="D34" s="6" t="s">
        <v>68</v>
      </c>
      <c r="E34" s="6" t="s">
        <v>201</v>
      </c>
      <c r="F34" s="6" t="s">
        <v>46</v>
      </c>
      <c r="G34" s="6" t="s">
        <v>202</v>
      </c>
      <c r="H34" s="6" t="s">
        <v>64</v>
      </c>
      <c r="I34" s="6" t="s">
        <v>203</v>
      </c>
    </row>
    <row r="35" spans="1:9" ht="48" x14ac:dyDescent="0.2">
      <c r="A35" s="6" t="s">
        <v>26</v>
      </c>
      <c r="B35" s="6" t="s">
        <v>204</v>
      </c>
      <c r="C35" s="6" t="s">
        <v>205</v>
      </c>
      <c r="D35" s="6" t="s">
        <v>74</v>
      </c>
      <c r="E35" s="6" t="s">
        <v>206</v>
      </c>
      <c r="F35" s="6" t="s">
        <v>46</v>
      </c>
      <c r="G35" s="6" t="s">
        <v>207</v>
      </c>
      <c r="H35" s="6" t="s">
        <v>64</v>
      </c>
      <c r="I35" s="6" t="s">
        <v>208</v>
      </c>
    </row>
    <row r="36" spans="1:9" ht="32" x14ac:dyDescent="0.2">
      <c r="A36" s="6" t="s">
        <v>26</v>
      </c>
      <c r="B36" s="6" t="s">
        <v>209</v>
      </c>
      <c r="C36" s="6" t="s">
        <v>210</v>
      </c>
      <c r="D36" s="6" t="s">
        <v>74</v>
      </c>
      <c r="E36" s="6" t="s">
        <v>211</v>
      </c>
      <c r="F36" s="6" t="s">
        <v>46</v>
      </c>
      <c r="G36" s="6" t="s">
        <v>212</v>
      </c>
      <c r="H36" s="6" t="s">
        <v>64</v>
      </c>
      <c r="I36" s="6" t="s">
        <v>213</v>
      </c>
    </row>
    <row r="37" spans="1:9" ht="32" x14ac:dyDescent="0.2">
      <c r="A37" s="6" t="s">
        <v>26</v>
      </c>
      <c r="B37" s="6" t="s">
        <v>214</v>
      </c>
      <c r="C37" s="6" t="s">
        <v>215</v>
      </c>
      <c r="D37" s="6" t="s">
        <v>74</v>
      </c>
      <c r="E37" s="6" t="s">
        <v>160</v>
      </c>
      <c r="F37" s="6" t="s">
        <v>46</v>
      </c>
      <c r="G37" s="6" t="s">
        <v>63</v>
      </c>
      <c r="H37" s="6" t="s">
        <v>64</v>
      </c>
      <c r="I37" s="6" t="s">
        <v>216</v>
      </c>
    </row>
    <row r="38" spans="1:9" ht="32" x14ac:dyDescent="0.2">
      <c r="A38" s="6" t="s">
        <v>26</v>
      </c>
      <c r="B38" s="6" t="s">
        <v>217</v>
      </c>
      <c r="C38" s="6" t="s">
        <v>218</v>
      </c>
      <c r="D38" s="6" t="s">
        <v>74</v>
      </c>
      <c r="E38" s="6" t="s">
        <v>219</v>
      </c>
      <c r="F38" s="6" t="s">
        <v>46</v>
      </c>
      <c r="G38" s="6" t="s">
        <v>133</v>
      </c>
      <c r="H38" s="6" t="s">
        <v>48</v>
      </c>
      <c r="I38" s="6" t="s">
        <v>220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F25" sqref="F25"/>
    </sheetView>
  </sheetViews>
  <sheetFormatPr baseColWidth="10" defaultColWidth="8.83203125" defaultRowHeight="15" x14ac:dyDescent="0.2"/>
  <cols>
    <col min="1" max="1" width="20" customWidth="1"/>
    <col min="2" max="2" width="24.33203125" customWidth="1"/>
    <col min="3" max="8" width="12" customWidth="1"/>
    <col min="9" max="9" width="15" customWidth="1"/>
    <col min="10" max="10" width="30" customWidth="1"/>
  </cols>
  <sheetData>
    <row r="1" spans="1:10" ht="16" x14ac:dyDescent="0.2">
      <c r="A1" s="5" t="s">
        <v>221</v>
      </c>
    </row>
    <row r="3" spans="1:10" x14ac:dyDescent="0.2">
      <c r="A3" s="7" t="s">
        <v>222</v>
      </c>
    </row>
    <row r="5" spans="1:10" ht="32" x14ac:dyDescent="0.2">
      <c r="A5" s="3" t="s">
        <v>223</v>
      </c>
      <c r="B5" s="3" t="s">
        <v>224</v>
      </c>
      <c r="C5" s="3" t="s">
        <v>225</v>
      </c>
      <c r="D5" s="3" t="s">
        <v>226</v>
      </c>
      <c r="E5" s="3" t="s">
        <v>227</v>
      </c>
      <c r="F5" s="3" t="s">
        <v>228</v>
      </c>
      <c r="G5" s="3" t="s">
        <v>229</v>
      </c>
      <c r="H5" s="3" t="s">
        <v>230</v>
      </c>
      <c r="I5" s="3" t="s">
        <v>231</v>
      </c>
      <c r="J5" s="3" t="s">
        <v>41</v>
      </c>
    </row>
    <row r="6" spans="1:10" x14ac:dyDescent="0.2">
      <c r="A6" s="4" t="s">
        <v>232</v>
      </c>
      <c r="B6" s="4"/>
      <c r="C6" s="4"/>
      <c r="D6" s="4"/>
      <c r="E6" s="4"/>
      <c r="F6" s="4"/>
      <c r="G6" s="4"/>
      <c r="H6" s="4"/>
      <c r="I6" s="8" t="e">
        <f>AVERAGE(B6:H6)</f>
        <v>#DIV/0!</v>
      </c>
      <c r="J6" s="4"/>
    </row>
    <row r="7" spans="1:10" x14ac:dyDescent="0.2">
      <c r="A7" s="4" t="s">
        <v>233</v>
      </c>
      <c r="B7" s="4"/>
      <c r="C7" s="4"/>
      <c r="D7" s="4"/>
      <c r="E7" s="4"/>
      <c r="F7" s="4"/>
      <c r="G7" s="4"/>
      <c r="H7" s="4"/>
      <c r="I7" s="8" t="e">
        <f>AVERAGE(B7:H7)</f>
        <v>#DIV/0!</v>
      </c>
      <c r="J7" s="4"/>
    </row>
    <row r="8" spans="1:10" x14ac:dyDescent="0.2">
      <c r="A8" s="4" t="s">
        <v>124</v>
      </c>
      <c r="B8" s="4"/>
      <c r="C8" s="4"/>
      <c r="D8" s="4"/>
      <c r="E8" s="4"/>
      <c r="F8" s="4"/>
      <c r="G8" s="4"/>
      <c r="H8" s="4"/>
      <c r="I8" s="8" t="e">
        <f>AVERAGE(B8:H8)</f>
        <v>#DIV/0!</v>
      </c>
      <c r="J8" s="4"/>
    </row>
    <row r="9" spans="1:10" x14ac:dyDescent="0.2">
      <c r="A9" s="4" t="s">
        <v>143</v>
      </c>
      <c r="B9" s="4"/>
      <c r="C9" s="4"/>
      <c r="D9" s="4"/>
      <c r="E9" s="4"/>
      <c r="F9" s="4"/>
      <c r="G9" s="4"/>
      <c r="H9" s="4"/>
      <c r="I9" s="8" t="e">
        <f>AVERAGE(B9:H9)</f>
        <v>#DIV/0!</v>
      </c>
      <c r="J9" s="4"/>
    </row>
    <row r="10" spans="1:10" x14ac:dyDescent="0.2">
      <c r="A10" s="4" t="s">
        <v>234</v>
      </c>
      <c r="B10" s="4"/>
      <c r="C10" s="4"/>
      <c r="D10" s="4"/>
      <c r="E10" s="4"/>
      <c r="F10" s="4"/>
      <c r="G10" s="4"/>
      <c r="H10" s="4"/>
      <c r="I10" s="8" t="e">
        <f>AVERAGE(B10:H10)</f>
        <v>#DIV/0!</v>
      </c>
      <c r="J10" s="4"/>
    </row>
    <row r="13" spans="1:10" x14ac:dyDescent="0.2">
      <c r="A13" s="9" t="s">
        <v>235</v>
      </c>
    </row>
    <row r="14" spans="1:10" ht="64" x14ac:dyDescent="0.2">
      <c r="A14" s="6" t="s">
        <v>236</v>
      </c>
      <c r="B14" s="6" t="s">
        <v>237</v>
      </c>
      <c r="C14" s="6" t="s">
        <v>238</v>
      </c>
      <c r="D14" s="6" t="s">
        <v>239</v>
      </c>
    </row>
    <row r="15" spans="1:10" ht="32" x14ac:dyDescent="0.2">
      <c r="A15" s="6" t="s">
        <v>240</v>
      </c>
      <c r="B15" s="6" t="s">
        <v>241</v>
      </c>
      <c r="C15" s="6" t="s">
        <v>242</v>
      </c>
      <c r="D15" s="6" t="s">
        <v>243</v>
      </c>
    </row>
    <row r="16" spans="1:10" ht="32" x14ac:dyDescent="0.2">
      <c r="A16" s="6" t="s">
        <v>244</v>
      </c>
      <c r="B16" s="6" t="s">
        <v>245</v>
      </c>
      <c r="C16" s="6" t="s">
        <v>246</v>
      </c>
      <c r="D16" s="6" t="s">
        <v>247</v>
      </c>
    </row>
    <row r="17" spans="1:4" ht="48" x14ac:dyDescent="0.2">
      <c r="A17" s="6" t="s">
        <v>248</v>
      </c>
      <c r="B17" s="6" t="s">
        <v>249</v>
      </c>
      <c r="C17" s="6" t="s">
        <v>250</v>
      </c>
      <c r="D17" s="6" t="s">
        <v>251</v>
      </c>
    </row>
    <row r="18" spans="1:4" ht="32" x14ac:dyDescent="0.2">
      <c r="A18" s="6" t="s">
        <v>38</v>
      </c>
      <c r="B18" s="6" t="s">
        <v>252</v>
      </c>
      <c r="C18" s="6" t="s">
        <v>253</v>
      </c>
      <c r="D18" s="6" t="s">
        <v>254</v>
      </c>
    </row>
    <row r="19" spans="1:4" ht="32" x14ac:dyDescent="0.2">
      <c r="A19" s="6" t="s">
        <v>255</v>
      </c>
      <c r="B19" s="6" t="s">
        <v>256</v>
      </c>
      <c r="C19" s="6" t="s">
        <v>257</v>
      </c>
      <c r="D19" s="6" t="s">
        <v>258</v>
      </c>
    </row>
    <row r="20" spans="1:4" ht="32" x14ac:dyDescent="0.2">
      <c r="A20" s="6" t="s">
        <v>259</v>
      </c>
      <c r="B20" s="6" t="s">
        <v>260</v>
      </c>
      <c r="C20" s="6" t="s">
        <v>261</v>
      </c>
      <c r="D20" s="6" t="s">
        <v>262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baseColWidth="10" defaultColWidth="8.83203125" defaultRowHeight="15" x14ac:dyDescent="0.2"/>
  <sheetData>
    <row r="1" spans="1:10" ht="16" x14ac:dyDescent="0.2">
      <c r="A1" s="5" t="s">
        <v>263</v>
      </c>
    </row>
    <row r="3" spans="1:10" ht="48" x14ac:dyDescent="0.2">
      <c r="A3" s="3" t="s">
        <v>264</v>
      </c>
      <c r="B3" s="3" t="s">
        <v>265</v>
      </c>
      <c r="C3" s="3" t="s">
        <v>266</v>
      </c>
      <c r="D3" s="3" t="s">
        <v>267</v>
      </c>
      <c r="E3" s="3" t="s">
        <v>268</v>
      </c>
      <c r="F3" s="3" t="s">
        <v>124</v>
      </c>
      <c r="G3" s="3" t="s">
        <v>269</v>
      </c>
      <c r="H3" s="3" t="s">
        <v>270</v>
      </c>
      <c r="I3" s="3" t="s">
        <v>271</v>
      </c>
      <c r="J3" s="3" t="s">
        <v>41</v>
      </c>
    </row>
    <row r="4" spans="1:10" ht="64" x14ac:dyDescent="0.2">
      <c r="A4" s="6" t="s">
        <v>272</v>
      </c>
      <c r="B4" s="6" t="s">
        <v>273</v>
      </c>
      <c r="C4" s="6" t="s">
        <v>274</v>
      </c>
      <c r="D4" s="6" t="s">
        <v>274</v>
      </c>
      <c r="E4" s="6" t="s">
        <v>274</v>
      </c>
      <c r="F4" s="6" t="s">
        <v>274</v>
      </c>
      <c r="G4" s="6" t="s">
        <v>274</v>
      </c>
      <c r="H4" s="6" t="s">
        <v>275</v>
      </c>
      <c r="I4" s="6" t="s">
        <v>276</v>
      </c>
      <c r="J4" s="6" t="s">
        <v>277</v>
      </c>
    </row>
    <row r="5" spans="1:10" ht="80" x14ac:dyDescent="0.2">
      <c r="A5" s="6" t="s">
        <v>278</v>
      </c>
      <c r="B5" s="6" t="s">
        <v>279</v>
      </c>
      <c r="C5" s="6" t="s">
        <v>280</v>
      </c>
      <c r="D5" s="6" t="s">
        <v>274</v>
      </c>
      <c r="E5" s="6" t="s">
        <v>274</v>
      </c>
      <c r="F5" s="6" t="s">
        <v>274</v>
      </c>
      <c r="G5" s="6" t="s">
        <v>274</v>
      </c>
      <c r="H5" s="6" t="s">
        <v>281</v>
      </c>
      <c r="I5" s="6" t="s">
        <v>276</v>
      </c>
      <c r="J5" s="6" t="s">
        <v>282</v>
      </c>
    </row>
    <row r="6" spans="1:10" ht="80" x14ac:dyDescent="0.2">
      <c r="A6" s="6" t="s">
        <v>283</v>
      </c>
      <c r="B6" s="6" t="s">
        <v>284</v>
      </c>
      <c r="C6" s="6" t="s">
        <v>274</v>
      </c>
      <c r="D6" s="6" t="s">
        <v>280</v>
      </c>
      <c r="E6" s="6" t="s">
        <v>280</v>
      </c>
      <c r="F6" s="6" t="s">
        <v>280</v>
      </c>
      <c r="G6" s="6" t="s">
        <v>280</v>
      </c>
      <c r="H6" s="6" t="s">
        <v>285</v>
      </c>
      <c r="I6" s="6" t="s">
        <v>286</v>
      </c>
      <c r="J6" s="6" t="s">
        <v>287</v>
      </c>
    </row>
    <row r="7" spans="1:10" ht="48" x14ac:dyDescent="0.2">
      <c r="A7" s="6" t="s">
        <v>288</v>
      </c>
      <c r="B7" s="6" t="s">
        <v>289</v>
      </c>
      <c r="C7" s="6" t="s">
        <v>280</v>
      </c>
      <c r="D7" s="6" t="s">
        <v>280</v>
      </c>
      <c r="E7" s="6" t="s">
        <v>280</v>
      </c>
      <c r="F7" s="6" t="s">
        <v>280</v>
      </c>
      <c r="G7" s="6" t="s">
        <v>280</v>
      </c>
      <c r="H7" s="6" t="s">
        <v>280</v>
      </c>
      <c r="I7" s="6" t="s">
        <v>280</v>
      </c>
      <c r="J7" s="6" t="s">
        <v>290</v>
      </c>
    </row>
    <row r="8" spans="1:10" ht="64" x14ac:dyDescent="0.2">
      <c r="A8" s="6" t="s">
        <v>291</v>
      </c>
      <c r="B8" s="6" t="s">
        <v>292</v>
      </c>
      <c r="C8" s="6" t="s">
        <v>280</v>
      </c>
      <c r="D8" s="6" t="s">
        <v>280</v>
      </c>
      <c r="E8" s="6" t="s">
        <v>274</v>
      </c>
      <c r="F8" s="6" t="s">
        <v>274</v>
      </c>
      <c r="G8" s="6" t="s">
        <v>280</v>
      </c>
      <c r="H8" s="6" t="s">
        <v>293</v>
      </c>
      <c r="I8" s="6" t="s">
        <v>294</v>
      </c>
      <c r="J8" s="6" t="s">
        <v>295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/>
  </sheetViews>
  <sheetFormatPr baseColWidth="10" defaultColWidth="8.83203125" defaultRowHeight="15" x14ac:dyDescent="0.2"/>
  <sheetData>
    <row r="1" spans="1:9" ht="16" x14ac:dyDescent="0.2">
      <c r="A1" s="5" t="s">
        <v>296</v>
      </c>
    </row>
    <row r="3" spans="1:9" ht="64" x14ac:dyDescent="0.2">
      <c r="A3" s="3" t="s">
        <v>223</v>
      </c>
      <c r="B3" s="3" t="s">
        <v>297</v>
      </c>
      <c r="C3" s="3" t="s">
        <v>298</v>
      </c>
      <c r="D3" s="3" t="s">
        <v>299</v>
      </c>
      <c r="E3" s="3" t="s">
        <v>300</v>
      </c>
      <c r="F3" s="3" t="s">
        <v>301</v>
      </c>
      <c r="G3" s="3" t="s">
        <v>302</v>
      </c>
      <c r="H3" s="3" t="s">
        <v>303</v>
      </c>
      <c r="I3" s="3" t="s">
        <v>41</v>
      </c>
    </row>
    <row r="4" spans="1:9" x14ac:dyDescent="0.2">
      <c r="A4" s="4"/>
      <c r="B4" s="4"/>
      <c r="C4" s="4"/>
      <c r="D4" s="4"/>
      <c r="E4" s="4"/>
      <c r="F4" s="4"/>
      <c r="G4" s="4"/>
      <c r="H4" s="4"/>
      <c r="I4" s="4"/>
    </row>
    <row r="5" spans="1:9" x14ac:dyDescent="0.2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A6" s="4"/>
      <c r="B6" s="4"/>
      <c r="C6" s="4"/>
      <c r="D6" s="4"/>
      <c r="E6" s="4"/>
      <c r="F6" s="4"/>
      <c r="G6" s="4"/>
      <c r="H6" s="4"/>
      <c r="I6" s="4"/>
    </row>
    <row r="7" spans="1:9" x14ac:dyDescent="0.2">
      <c r="A7" s="4"/>
      <c r="B7" s="4"/>
      <c r="C7" s="4"/>
      <c r="D7" s="4"/>
      <c r="E7" s="4"/>
      <c r="F7" s="4"/>
      <c r="G7" s="4"/>
      <c r="H7" s="4"/>
      <c r="I7" s="4"/>
    </row>
    <row r="8" spans="1:9" x14ac:dyDescent="0.2">
      <c r="A8" s="4"/>
      <c r="B8" s="4"/>
      <c r="C8" s="4"/>
      <c r="D8" s="4"/>
      <c r="E8" s="4"/>
      <c r="F8" s="4"/>
      <c r="G8" s="4"/>
      <c r="H8" s="4"/>
      <c r="I8" s="4"/>
    </row>
    <row r="9" spans="1:9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4"/>
      <c r="B13" s="4"/>
      <c r="C13" s="4"/>
      <c r="D13" s="4"/>
      <c r="E13" s="4"/>
      <c r="F13" s="4"/>
      <c r="G13" s="4"/>
      <c r="H13" s="4"/>
      <c r="I13" s="4"/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45" bestFit="1" customWidth="1"/>
    <col min="2" max="3" width="20" customWidth="1"/>
    <col min="4" max="4" width="25" customWidth="1"/>
    <col min="5" max="6" width="15" customWidth="1"/>
  </cols>
  <sheetData>
    <row r="1" spans="1:6" ht="16" x14ac:dyDescent="0.2">
      <c r="A1" s="5" t="s">
        <v>304</v>
      </c>
    </row>
    <row r="3" spans="1:6" ht="32" x14ac:dyDescent="0.2">
      <c r="A3" s="3" t="s">
        <v>305</v>
      </c>
      <c r="B3" s="3" t="s">
        <v>306</v>
      </c>
      <c r="C3" s="3" t="s">
        <v>307</v>
      </c>
      <c r="D3" s="3" t="s">
        <v>308</v>
      </c>
      <c r="E3" s="3" t="s">
        <v>309</v>
      </c>
      <c r="F3" s="3" t="s">
        <v>310</v>
      </c>
    </row>
    <row r="4" spans="1:6" ht="32" x14ac:dyDescent="0.2">
      <c r="A4" s="6" t="s">
        <v>311</v>
      </c>
      <c r="B4" s="6" t="s">
        <v>312</v>
      </c>
      <c r="C4" s="6" t="s">
        <v>313</v>
      </c>
      <c r="D4" s="6" t="s">
        <v>314</v>
      </c>
      <c r="E4" s="6" t="s">
        <v>315</v>
      </c>
      <c r="F4" s="6" t="s">
        <v>316</v>
      </c>
    </row>
    <row r="5" spans="1:6" ht="32" x14ac:dyDescent="0.2">
      <c r="A5" s="6" t="s">
        <v>317</v>
      </c>
      <c r="B5" s="6" t="s">
        <v>318</v>
      </c>
      <c r="C5" s="6" t="s">
        <v>319</v>
      </c>
      <c r="D5" s="6" t="s">
        <v>320</v>
      </c>
      <c r="E5" s="6" t="s">
        <v>321</v>
      </c>
      <c r="F5" s="6" t="s">
        <v>322</v>
      </c>
    </row>
    <row r="6" spans="1:6" ht="32" x14ac:dyDescent="0.2">
      <c r="A6" s="6" t="s">
        <v>323</v>
      </c>
      <c r="B6" s="6" t="s">
        <v>324</v>
      </c>
      <c r="C6" s="6" t="s">
        <v>325</v>
      </c>
      <c r="D6" s="6" t="s">
        <v>326</v>
      </c>
      <c r="E6" s="6" t="s">
        <v>327</v>
      </c>
      <c r="F6" s="6" t="s">
        <v>328</v>
      </c>
    </row>
    <row r="7" spans="1:6" ht="32" x14ac:dyDescent="0.2">
      <c r="A7" s="6" t="s">
        <v>329</v>
      </c>
      <c r="B7" s="6" t="s">
        <v>330</v>
      </c>
      <c r="C7" s="6" t="s">
        <v>331</v>
      </c>
      <c r="D7" s="6" t="s">
        <v>332</v>
      </c>
      <c r="E7" s="6" t="s">
        <v>333</v>
      </c>
      <c r="F7" s="6" t="s">
        <v>334</v>
      </c>
    </row>
    <row r="8" spans="1:6" ht="32" x14ac:dyDescent="0.2">
      <c r="A8" s="6" t="s">
        <v>335</v>
      </c>
      <c r="B8" s="6" t="s">
        <v>336</v>
      </c>
      <c r="C8" s="6" t="s">
        <v>337</v>
      </c>
      <c r="D8" s="6" t="s">
        <v>338</v>
      </c>
      <c r="E8" s="6" t="s">
        <v>339</v>
      </c>
      <c r="F8" s="6" t="s">
        <v>340</v>
      </c>
    </row>
  </sheetData>
  <pageMargins left="0.75" right="0.75" top="1" bottom="1" header="0.5" footer="0.5"/>
  <headerFooter>
    <oddFooter>&amp;L_x000D_&amp;1#&amp;"Aptos"&amp;7&amp;K000000 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100" customWidth="1"/>
  </cols>
  <sheetData>
    <row r="1" spans="1:4" ht="19" x14ac:dyDescent="0.25">
      <c r="A1" s="1" t="s">
        <v>341</v>
      </c>
    </row>
    <row r="3" spans="1:4" x14ac:dyDescent="0.2">
      <c r="A3" s="9" t="s">
        <v>342</v>
      </c>
    </row>
    <row r="4" spans="1:4" x14ac:dyDescent="0.2">
      <c r="A4" s="7" t="s">
        <v>343</v>
      </c>
    </row>
    <row r="6" spans="1:4" x14ac:dyDescent="0.2">
      <c r="A6" s="9" t="s">
        <v>344</v>
      </c>
    </row>
    <row r="7" spans="1:4" x14ac:dyDescent="0.2">
      <c r="A7" s="7" t="s">
        <v>345</v>
      </c>
    </row>
    <row r="9" spans="1:4" ht="24" x14ac:dyDescent="0.3">
      <c r="A9" s="9" t="s">
        <v>346</v>
      </c>
      <c r="D9" s="11" t="s">
        <v>367</v>
      </c>
    </row>
    <row r="10" spans="1:4" x14ac:dyDescent="0.2">
      <c r="A10" s="7" t="s">
        <v>347</v>
      </c>
    </row>
    <row r="11" spans="1:4" ht="19" x14ac:dyDescent="0.25">
      <c r="D11" s="12" t="s">
        <v>368</v>
      </c>
    </row>
    <row r="12" spans="1:4" x14ac:dyDescent="0.2">
      <c r="A12" s="9" t="s">
        <v>348</v>
      </c>
    </row>
    <row r="13" spans="1:4" x14ac:dyDescent="0.2">
      <c r="A13" s="7" t="s">
        <v>349</v>
      </c>
      <c r="D13" s="13" t="s">
        <v>369</v>
      </c>
    </row>
    <row r="14" spans="1:4" x14ac:dyDescent="0.2">
      <c r="D14" s="13" t="s">
        <v>370</v>
      </c>
    </row>
    <row r="15" spans="1:4" x14ac:dyDescent="0.2">
      <c r="A15" s="9" t="s">
        <v>350</v>
      </c>
      <c r="D15" s="13" t="s">
        <v>371</v>
      </c>
    </row>
    <row r="16" spans="1:4" x14ac:dyDescent="0.2">
      <c r="A16" s="7" t="s">
        <v>351</v>
      </c>
      <c r="D16" s="13" t="s">
        <v>372</v>
      </c>
    </row>
    <row r="17" spans="1:4" x14ac:dyDescent="0.2">
      <c r="D17" s="13" t="s">
        <v>373</v>
      </c>
    </row>
    <row r="18" spans="1:4" x14ac:dyDescent="0.2">
      <c r="A18" s="9" t="s">
        <v>352</v>
      </c>
      <c r="D18" s="13" t="s">
        <v>374</v>
      </c>
    </row>
    <row r="19" spans="1:4" x14ac:dyDescent="0.2">
      <c r="A19" s="7" t="s">
        <v>353</v>
      </c>
    </row>
    <row r="20" spans="1:4" ht="19" x14ac:dyDescent="0.25">
      <c r="D20" s="12" t="s">
        <v>375</v>
      </c>
    </row>
    <row r="21" spans="1:4" x14ac:dyDescent="0.2">
      <c r="A21" s="9" t="s">
        <v>354</v>
      </c>
    </row>
    <row r="22" spans="1:4" x14ac:dyDescent="0.2">
      <c r="A22" s="7" t="s">
        <v>355</v>
      </c>
      <c r="D22" s="13" t="s">
        <v>376</v>
      </c>
    </row>
    <row r="23" spans="1:4" x14ac:dyDescent="0.2">
      <c r="D23" s="13" t="s">
        <v>377</v>
      </c>
    </row>
    <row r="24" spans="1:4" x14ac:dyDescent="0.2">
      <c r="D24" s="13" t="s">
        <v>378</v>
      </c>
    </row>
    <row r="25" spans="1:4" ht="16" x14ac:dyDescent="0.2">
      <c r="A25" s="5" t="s">
        <v>356</v>
      </c>
      <c r="D25" s="13" t="s">
        <v>379</v>
      </c>
    </row>
    <row r="26" spans="1:4" x14ac:dyDescent="0.2">
      <c r="D26" s="13" t="s">
        <v>380</v>
      </c>
    </row>
    <row r="27" spans="1:4" x14ac:dyDescent="0.2">
      <c r="A27" t="s">
        <v>357</v>
      </c>
    </row>
    <row r="28" spans="1:4" ht="19" x14ac:dyDescent="0.25">
      <c r="A28" t="s">
        <v>358</v>
      </c>
      <c r="D28" s="12" t="s">
        <v>381</v>
      </c>
    </row>
    <row r="29" spans="1:4" x14ac:dyDescent="0.2">
      <c r="A29" t="s">
        <v>359</v>
      </c>
    </row>
    <row r="30" spans="1:4" x14ac:dyDescent="0.2">
      <c r="A30" t="s">
        <v>360</v>
      </c>
      <c r="D30" s="13" t="s">
        <v>382</v>
      </c>
    </row>
    <row r="31" spans="1:4" x14ac:dyDescent="0.2">
      <c r="A31" t="s">
        <v>361</v>
      </c>
      <c r="D31" s="13" t="s">
        <v>383</v>
      </c>
    </row>
    <row r="32" spans="1:4" x14ac:dyDescent="0.2">
      <c r="D32" s="13" t="s">
        <v>384</v>
      </c>
    </row>
    <row r="34" spans="1:1" x14ac:dyDescent="0.2">
      <c r="A34" s="10" t="s">
        <v>362</v>
      </c>
    </row>
    <row r="36" spans="1:1" x14ac:dyDescent="0.2">
      <c r="A36" t="s">
        <v>363</v>
      </c>
    </row>
    <row r="37" spans="1:1" x14ac:dyDescent="0.2">
      <c r="A37" t="s">
        <v>364</v>
      </c>
    </row>
    <row r="38" spans="1:1" x14ac:dyDescent="0.2">
      <c r="A38" t="s">
        <v>365</v>
      </c>
    </row>
    <row r="39" spans="1:1" x14ac:dyDescent="0.2">
      <c r="A39" t="s">
        <v>366</v>
      </c>
    </row>
  </sheetData>
  <hyperlinks>
    <hyperlink ref="D13" r:id="rId1" display="https://www.agsa.co.za/Reporting/AuditReports.aspx" xr:uid="{750AA515-D49D-DE4F-BCC4-E184B637BA07}"/>
    <hyperlink ref="D14" r:id="rId2" display="https://www.siu.org.za/annual-reports/" xr:uid="{4CEABAF2-A9C5-664D-9585-3980BEB7E620}"/>
    <hyperlink ref="D15" r:id="rId3" display="https://www.pprotect.org/" xr:uid="{8256977C-9CEE-CA45-A8B0-64BF038DFA51}"/>
    <hyperlink ref="D16" r:id="rId4" display="https://ipid.gov.za/" xr:uid="{8E5322CB-BEC1-E649-811D-0982C3102953}"/>
    <hyperlink ref="D17" r:id="rId5" display="https://vulekamali.gov.za/" xr:uid="{59B139C7-6F6E-CA42-8BC1-35BFE204FB58}"/>
    <hyperlink ref="D18" r:id="rId6" display="https://www.parliament.gov.za/" xr:uid="{0F436217-656B-5F4C-B561-AFCDE9C2669A}"/>
    <hyperlink ref="D22" r:id="rId7" display="https://www.corruptionwatch.org.za/" xr:uid="{67305324-DD85-414E-824D-574ACFA5D092}"/>
    <hyperlink ref="D23" r:id="rId8" display="https://www.transparency.org.za/" xr:uid="{317673ED-0952-4345-B0D6-7B6B22A9E706}"/>
    <hyperlink ref="D24" r:id="rId9" display="https://outa.co.za/" xr:uid="{59653D5B-BAA5-8545-87BB-CF0C1850E49A}"/>
    <hyperlink ref="D25" r:id="rId10" display="https://www.afrobarometer.org/" xr:uid="{E4AB13C6-90DF-DA48-9E08-BA52A5AD181C}"/>
    <hyperlink ref="D26" r:id="rId11" display="https://www.veza.org.za/" xr:uid="{D2559C97-4AA1-614F-80BA-3C396328F911}"/>
    <hyperlink ref="D30" r:id="rId12" display="https://www.govindicators.org/" xr:uid="{AF2380AB-BACA-B14D-B606-B8F3DD385720}"/>
    <hyperlink ref="D31" r:id="rId13" display="https://www.transparency.org/en/cpi/2024" xr:uid="{DDC5285C-3D66-7445-8719-2D156FE939C4}"/>
    <hyperlink ref="D32" r:id="rId14" display="https://mo.ibrahim.foundation/iiag" xr:uid="{D5EA6C71-B4C8-854E-9CE7-875F7F4BD560}"/>
  </hyperlinks>
  <pageMargins left="0.75" right="0.75" top="1" bottom="1" header="0.5" footer="0.5"/>
  <headerFooter>
    <oddFooter>&amp;L_x000D_&amp;1#&amp;"Aptos"&amp;7&amp;K000000 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Source Inventory</vt:lpstr>
      <vt:lpstr>Quality Assessment</vt:lpstr>
      <vt:lpstr>Triangulation Matrix</vt:lpstr>
      <vt:lpstr>Extraction Log</vt:lpstr>
      <vt:lpstr>Extraction Typology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Collin Mamdoo, Vodacom</cp:lastModifiedBy>
  <dcterms:created xsi:type="dcterms:W3CDTF">2026-04-06T17:58:37Z</dcterms:created>
  <dcterms:modified xsi:type="dcterms:W3CDTF">2026-04-06T18:21:10Z</dcterms:modified>
</cp:coreProperties>
</file>